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1_15AB0BF180765C58C6BB3D06F15528DB95C3EF10" xr6:coauthVersionLast="47" xr6:coauthVersionMax="47" xr10:uidLastSave="{00000000-0000-0000-0000-000000000000}"/>
  <bookViews>
    <workbookView xWindow="4395" yWindow="1395" windowWidth="18000" windowHeight="9360" xr2:uid="{00000000-000D-0000-FFFF-FFFF00000000}"/>
  </bookViews>
  <sheets>
    <sheet name="PEDI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" i="1" l="1"/>
  <c r="M50" i="1" s="1"/>
  <c r="G50" i="1"/>
  <c r="K49" i="1"/>
  <c r="M49" i="1" s="1"/>
  <c r="G49" i="1"/>
  <c r="K48" i="1"/>
  <c r="M48" i="1" s="1"/>
  <c r="G48" i="1"/>
  <c r="K47" i="1"/>
  <c r="M47" i="1" s="1"/>
  <c r="G47" i="1"/>
  <c r="K46" i="1"/>
  <c r="M46" i="1" s="1"/>
  <c r="G46" i="1"/>
  <c r="K45" i="1"/>
  <c r="M45" i="1" s="1"/>
  <c r="G45" i="1"/>
  <c r="K44" i="1"/>
  <c r="M44" i="1" s="1"/>
  <c r="G44" i="1"/>
  <c r="K43" i="1"/>
  <c r="M43" i="1" s="1"/>
  <c r="G43" i="1"/>
  <c r="K42" i="1"/>
  <c r="M42" i="1" s="1"/>
  <c r="G42" i="1"/>
  <c r="K41" i="1"/>
  <c r="M41" i="1" s="1"/>
  <c r="G41" i="1"/>
  <c r="K40" i="1"/>
  <c r="M40" i="1" s="1"/>
  <c r="G40" i="1"/>
  <c r="K39" i="1"/>
  <c r="M39" i="1" s="1"/>
  <c r="G39" i="1"/>
  <c r="K38" i="1"/>
  <c r="M38" i="1" s="1"/>
  <c r="G38" i="1"/>
  <c r="K37" i="1"/>
  <c r="M37" i="1" s="1"/>
  <c r="G37" i="1"/>
  <c r="K36" i="1"/>
  <c r="M36" i="1" s="1"/>
  <c r="G36" i="1"/>
  <c r="K35" i="1"/>
  <c r="M35" i="1" s="1"/>
  <c r="G35" i="1"/>
  <c r="K34" i="1"/>
  <c r="M34" i="1" s="1"/>
  <c r="G34" i="1"/>
  <c r="K33" i="1"/>
  <c r="M33" i="1" s="1"/>
  <c r="G33" i="1"/>
  <c r="K32" i="1"/>
  <c r="M32" i="1" s="1"/>
  <c r="G32" i="1"/>
  <c r="K31" i="1"/>
  <c r="M31" i="1" s="1"/>
  <c r="G31" i="1"/>
  <c r="K30" i="1"/>
  <c r="M30" i="1" s="1"/>
  <c r="G30" i="1"/>
  <c r="K29" i="1"/>
  <c r="M29" i="1" s="1"/>
  <c r="G29" i="1"/>
  <c r="K28" i="1"/>
  <c r="M28" i="1" s="1"/>
  <c r="G28" i="1"/>
  <c r="K27" i="1"/>
  <c r="M27" i="1" s="1"/>
  <c r="G27" i="1"/>
  <c r="K26" i="1"/>
  <c r="M26" i="1" s="1"/>
  <c r="G26" i="1"/>
  <c r="K25" i="1"/>
  <c r="M25" i="1" s="1"/>
  <c r="G25" i="1"/>
  <c r="K24" i="1"/>
  <c r="M24" i="1" s="1"/>
  <c r="G24" i="1"/>
  <c r="K23" i="1"/>
  <c r="M23" i="1" s="1"/>
  <c r="G23" i="1"/>
  <c r="K22" i="1"/>
  <c r="M22" i="1" s="1"/>
  <c r="G22" i="1"/>
  <c r="K21" i="1"/>
  <c r="M21" i="1" s="1"/>
  <c r="G21" i="1"/>
  <c r="K20" i="1"/>
  <c r="M20" i="1" s="1"/>
  <c r="G20" i="1"/>
  <c r="K19" i="1"/>
  <c r="M19" i="1" s="1"/>
  <c r="G19" i="1"/>
  <c r="K18" i="1"/>
  <c r="M18" i="1" s="1"/>
  <c r="G18" i="1"/>
  <c r="K17" i="1"/>
  <c r="M17" i="1" s="1"/>
  <c r="G17" i="1"/>
  <c r="K16" i="1"/>
  <c r="M16" i="1" s="1"/>
  <c r="G16" i="1"/>
  <c r="K15" i="1"/>
  <c r="M15" i="1" s="1"/>
  <c r="G15" i="1"/>
  <c r="K14" i="1"/>
  <c r="M14" i="1" s="1"/>
  <c r="G14" i="1"/>
  <c r="K13" i="1"/>
  <c r="M13" i="1" s="1"/>
  <c r="G13" i="1"/>
  <c r="K12" i="1"/>
  <c r="M12" i="1" s="1"/>
  <c r="G12" i="1"/>
  <c r="K11" i="1"/>
  <c r="M11" i="1" s="1"/>
  <c r="G11" i="1"/>
  <c r="K10" i="1"/>
  <c r="M10" i="1" s="1"/>
  <c r="G10" i="1"/>
  <c r="K9" i="1"/>
  <c r="M9" i="1" s="1"/>
  <c r="E5" i="1" s="1"/>
  <c r="G9" i="1"/>
  <c r="C5" i="1"/>
  <c r="D5" i="1" s="1"/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</calcChain>
</file>

<file path=xl/sharedStrings.xml><?xml version="1.0" encoding="utf-8"?>
<sst xmlns="http://schemas.openxmlformats.org/spreadsheetml/2006/main" count="189" uniqueCount="111">
  <si>
    <t>CORPORACIÓN DE INDUSTRIAS PLÁSTICAS S.A.</t>
  </si>
  <si>
    <t>CLIENTE:</t>
  </si>
  <si>
    <t>CHOPERS DISTRIBUCIONES</t>
  </si>
  <si>
    <t>PEDIDO:</t>
  </si>
  <si>
    <t>CC000103</t>
  </si>
  <si>
    <t>Subtotal:</t>
  </si>
  <si>
    <t>Total + IGV:</t>
  </si>
  <si>
    <t>C/STOCK CONF.:</t>
  </si>
  <si>
    <t>N°</t>
  </si>
  <si>
    <t>CANT.</t>
  </si>
  <si>
    <t>U/M</t>
  </si>
  <si>
    <t>SKU</t>
  </si>
  <si>
    <t>DESCRIPCIÓN</t>
  </si>
  <si>
    <t>STOCK</t>
  </si>
  <si>
    <t>C/STOCK</t>
  </si>
  <si>
    <t>P. LISTA</t>
  </si>
  <si>
    <t>DESC 01</t>
  </si>
  <si>
    <t>DESC 02</t>
  </si>
  <si>
    <t>VALOR VENTA</t>
  </si>
  <si>
    <t>PRECIO UNIT.</t>
  </si>
  <si>
    <t>PRECIO TOTAL</t>
  </si>
  <si>
    <t>ESTUCHE</t>
  </si>
  <si>
    <t>76191</t>
  </si>
  <si>
    <t>MARCADOR VFAN BRUSH MARKER DUO NEON - EST 6</t>
  </si>
  <si>
    <t/>
  </si>
  <si>
    <t>UNIDAD</t>
  </si>
  <si>
    <t>72008</t>
  </si>
  <si>
    <t>GOMA EN BARRA CIRCULAR VINIFAN FORTE 40G</t>
  </si>
  <si>
    <t>76121</t>
  </si>
  <si>
    <t>RESALTADOR VFAN TRI BRILLIANT 49 PASTEL ESTUCHE X6</t>
  </si>
  <si>
    <t>76193</t>
  </si>
  <si>
    <t>MARCADOR VFAN BRUSH MARKER DUO MIX - EST 12</t>
  </si>
  <si>
    <t>76198</t>
  </si>
  <si>
    <t>MARCADOR PUNTA FINA VFAN FINETIP 709 - EST X 36</t>
  </si>
  <si>
    <t>76225</t>
  </si>
  <si>
    <t>RESALTADOR VINIFAN MILDLINER CALIDOS - ESTUCHE X 24</t>
  </si>
  <si>
    <t>76226</t>
  </si>
  <si>
    <t>RESALTADOR VINIFAN MILDLINER FRIOS - ESTUCHE X 24</t>
  </si>
  <si>
    <t>76227</t>
  </si>
  <si>
    <t>RESALTADOR VINIFAN MILDLINER MIX - ESTUCHE X 12</t>
  </si>
  <si>
    <t>76242</t>
  </si>
  <si>
    <t>MARCADOR VFAN SKETCH MARKER LINE CANDY ESTUCHE X12</t>
  </si>
  <si>
    <t>76248</t>
  </si>
  <si>
    <t>MARCADOR VFAN SKETCH MARKER LINE ARTSY ESTUCHE X12</t>
  </si>
  <si>
    <t>77136</t>
  </si>
  <si>
    <t>PLUMON VINIFAN CHILDREN 47 EST 12</t>
  </si>
  <si>
    <t>77264</t>
  </si>
  <si>
    <t>PLUMON VINIFAN WONDER TIPS EST100</t>
  </si>
  <si>
    <t>79117</t>
  </si>
  <si>
    <t>TIJERA VINIFAN LLAMITA BLISTER</t>
  </si>
  <si>
    <t>BLISTER</t>
  </si>
  <si>
    <t>79127</t>
  </si>
  <si>
    <t>TIJERA VINIFAN NEON</t>
  </si>
  <si>
    <t>79150</t>
  </si>
  <si>
    <t>TIJERA VINIFAN JIRAFA</t>
  </si>
  <si>
    <t>79151</t>
  </si>
  <si>
    <t>TIJERA VINIFAN DINOSAURIO</t>
  </si>
  <si>
    <t>85229</t>
  </si>
  <si>
    <t>REPUESTO CUCHILLA (NEGRO) ASBB-10 X 10</t>
  </si>
  <si>
    <t>85241</t>
  </si>
  <si>
    <t>REPUESTO CUCHILLA (NEGRO) LBB-10 X 10</t>
  </si>
  <si>
    <t>85288</t>
  </si>
  <si>
    <t>ENGRAPADOR ALICATE K1 CLASICA</t>
  </si>
  <si>
    <t>76089</t>
  </si>
  <si>
    <t>MARCADOR PUNTA FINA VFAN FINETIP 709 - EST X 12</t>
  </si>
  <si>
    <t>76090</t>
  </si>
  <si>
    <t>MARCADOR PUNTA FINA VFAN FINETIP 709 - EST X 24</t>
  </si>
  <si>
    <t>76192</t>
  </si>
  <si>
    <t>MARCADOR VFAN BRUSH MARKER DUO PASTEL - EST 6</t>
  </si>
  <si>
    <t>77263</t>
  </si>
  <si>
    <t>PLUMON VINIFAN WONDER TIPS EST50</t>
  </si>
  <si>
    <t>79025</t>
  </si>
  <si>
    <t>TIJERA VINIFAN MARIPOSA</t>
  </si>
  <si>
    <t>79044</t>
  </si>
  <si>
    <t>TIJERA VINIFAN PRINCESA</t>
  </si>
  <si>
    <t>79076</t>
  </si>
  <si>
    <t>BLISTER X3 TIJERAS CON FORMAS VINIFAN</t>
  </si>
  <si>
    <t>79126</t>
  </si>
  <si>
    <t>TIJERA VINIFAN PASTEL</t>
  </si>
  <si>
    <t>DISPLAY</t>
  </si>
  <si>
    <t>79159</t>
  </si>
  <si>
    <t>TAJADOR VINIFAN DOBLE ASTRONAUTA CON BORRADOR DISPLAY X20</t>
  </si>
  <si>
    <t>79160</t>
  </si>
  <si>
    <t>TAJADOR VINIFAN SIMPLE PHOTOCAM CON BORRADOR DISPLAY X24</t>
  </si>
  <si>
    <t>85304</t>
  </si>
  <si>
    <t>ENGRAPADOR ESCRITORIO K2 (100% METAL)</t>
  </si>
  <si>
    <t>85693</t>
  </si>
  <si>
    <t>ENGRAPADOR ALICATE K1 VERDE PASTEL</t>
  </si>
  <si>
    <t>85695</t>
  </si>
  <si>
    <t>ENGRAPADOR ALICATE K1 CELESTE</t>
  </si>
  <si>
    <t>85696</t>
  </si>
  <si>
    <t>ENGRAPADOR ALICATE K1 NEGRO</t>
  </si>
  <si>
    <t>72017</t>
  </si>
  <si>
    <t>GOMA ESCARCHADA STAR BLISTER X 6UND</t>
  </si>
  <si>
    <t>76236</t>
  </si>
  <si>
    <t>MARCADOR VFAN SKETCH MARKER LINE PRIMAVERAL ESTUCHE X12</t>
  </si>
  <si>
    <t>BOLSAS</t>
  </si>
  <si>
    <t>78456</t>
  </si>
  <si>
    <t>PORTAPAPELES VINIFAN A4 X 10 UND NP</t>
  </si>
  <si>
    <t>79024</t>
  </si>
  <si>
    <t>TIJERA VINIFAN TIGRE</t>
  </si>
  <si>
    <t>85697</t>
  </si>
  <si>
    <t>ENGRAPADOR ALICATE K1 ROSADO</t>
  </si>
  <si>
    <t>78458</t>
  </si>
  <si>
    <t>PORTAPAPELES TOP A4 X 10 UND NP</t>
  </si>
  <si>
    <t>72015</t>
  </si>
  <si>
    <t>SILICONA LIQUIDA VINIFAN 250 ML</t>
  </si>
  <si>
    <t>79161</t>
  </si>
  <si>
    <t>TAJADOR VINIFAN DOBLE SCHOOL BAG CON BORRADOR DISPLAY X20</t>
  </si>
  <si>
    <t>79112</t>
  </si>
  <si>
    <t>BORRADOR NEGRO GRANDE VINIFAN DISPLAY 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</si>
</sst>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333333"/>
      <name val="Calibri"/>
    </font>
    <font>
      <b/>
      <sz val="11"/>
      <color rgb="FF333333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0000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0F0F0"/>
      </patternFill>
    </fill>
    <fill>
      <patternFill patternType="solid">
        <fgColor rgb="FFF8FAFC"/>
      </patternFill>
    </fill>
    <fill>
      <patternFill patternType="solid">
        <fgColor rgb="FFC8E6C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4" fontId="7" fillId="3" borderId="0" xfId="0" applyNumberFormat="1" applyFont="1" applyFill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9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7" fillId="4" borderId="2" xfId="0" applyFont="1" applyFill="1" applyBorder="1" applyAlignment="1">
      <alignment vertical="center"/>
    </xf>
    <xf numFmtId="4" fontId="0" fillId="4" borderId="2" xfId="0" applyNumberFormat="1" applyFill="1" applyBorder="1" applyAlignment="1">
      <alignment vertical="center"/>
    </xf>
    <xf numFmtId="4" fontId="7" fillId="3" borderId="2" xfId="0" applyNumberFormat="1" applyFont="1" applyFill="1" applyBorder="1" applyAlignment="1">
      <alignment horizontal="right"/>
    </xf>
    <xf numFmtId="4" fontId="7" fillId="5" borderId="2" xfId="0" applyNumberFormat="1" applyFont="1" applyFill="1" applyBorder="1" applyAlignment="1">
      <alignment horizontal="right"/>
    </xf>
    <xf numFmtId="4" fontId="7" fillId="4" borderId="2" xfId="0" applyNumberFormat="1" applyFont="1" applyFill="1" applyBorder="1" applyAlignment="1">
      <alignment horizontal="right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7" fillId="6" borderId="2" xfId="0" applyFont="1" applyFill="1" applyBorder="1" applyAlignment="1">
      <alignment vertical="center"/>
    </xf>
    <xf numFmtId="4" fontId="0" fillId="6" borderId="2" xfId="0" applyNumberFormat="1" applyFill="1" applyBorder="1" applyAlignment="1">
      <alignment vertical="center"/>
    </xf>
    <xf numFmtId="4" fontId="7" fillId="6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3" width="12" customWidth="1"/>
    <col min="4" max="4" width="14" customWidth="1"/>
    <col min="5" max="5" width="31" customWidth="1"/>
    <col min="6" max="6" width="10" customWidth="1"/>
    <col min="7" max="7" width="6" customWidth="1"/>
    <col min="8" max="8" width="14" customWidth="1"/>
    <col min="9" max="10" width="12" customWidth="1"/>
    <col min="11" max="13" width="14" customWidth="1"/>
  </cols>
  <sheetData>
    <row r="1" spans="1:14" ht="50.1" customHeight="1" x14ac:dyDescent="0.35">
      <c r="C1" s="1" t="s">
        <v>0</v>
      </c>
    </row>
    <row r="2" spans="1:14" ht="21.95" customHeight="1" x14ac:dyDescent="0.25">
      <c r="C2" s="2" t="s">
        <v>1</v>
      </c>
      <c r="D2" s="3" t="s">
        <v>2</v>
      </c>
      <c r="G2" s="4" t="s">
        <v>3</v>
      </c>
      <c r="H2" s="5" t="s">
        <v>4</v>
      </c>
    </row>
    <row r="3" spans="1:14" ht="9.9499999999999993" customHeight="1" x14ac:dyDescent="0.25"/>
    <row r="4" spans="1:14" ht="20.100000000000001" customHeight="1" x14ac:dyDescent="0.25">
      <c r="C4" s="6" t="s">
        <v>5</v>
      </c>
      <c r="D4" s="6" t="s">
        <v>6</v>
      </c>
      <c r="E4" s="6" t="s">
        <v>7</v>
      </c>
    </row>
    <row r="5" spans="1:14" ht="27.95" customHeight="1" x14ac:dyDescent="0.3">
      <c r="C5" s="7">
        <f>SUM(K9:K50)</f>
        <v>66935.468096947196</v>
      </c>
      <c r="D5" s="8">
        <f>IFERROR(C5*1.18,0)</f>
        <v>78983.852354397692</v>
      </c>
      <c r="E5" s="7">
        <f>IFERROR(SUMPRODUCT(--(B9:B50&lt;=F9:F50),M9:M50),0)</f>
        <v>55886.602454931446</v>
      </c>
    </row>
    <row r="6" spans="1:14" ht="9.9499999999999993" customHeight="1" x14ac:dyDescent="0.25"/>
    <row r="8" spans="1:14" ht="35.1" customHeight="1" x14ac:dyDescent="0.25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9" t="s">
        <v>16</v>
      </c>
      <c r="J8" s="9" t="s">
        <v>17</v>
      </c>
      <c r="K8" s="9" t="s">
        <v>18</v>
      </c>
      <c r="L8" s="9" t="s">
        <v>19</v>
      </c>
      <c r="M8" s="9" t="s">
        <v>20</v>
      </c>
    </row>
    <row r="9" spans="1:14" x14ac:dyDescent="0.25">
      <c r="A9" s="10">
        <v>1</v>
      </c>
      <c r="B9" s="10">
        <v>48</v>
      </c>
      <c r="C9" s="10" t="s">
        <v>21</v>
      </c>
      <c r="D9" s="10" t="s">
        <v>22</v>
      </c>
      <c r="E9" s="11" t="s">
        <v>23</v>
      </c>
      <c r="F9" s="10">
        <v>10951</v>
      </c>
      <c r="G9" s="12" t="str">
        <f t="shared" ref="G9:G50" si="0">IF(B9&lt;=F9,"OK","NO")</f>
        <v>OK</v>
      </c>
      <c r="H9" s="13">
        <v>3.14</v>
      </c>
      <c r="I9" s="13">
        <v>0</v>
      </c>
      <c r="J9" s="13">
        <v>0</v>
      </c>
      <c r="K9" s="14">
        <f t="shared" ref="K9:K50" si="1">B9*H9*(1-I9/100)*(1-J9/100)</f>
        <v>150.72</v>
      </c>
      <c r="L9" s="15">
        <f t="shared" ref="L9:L50" si="2">IFERROR(K9/B9*1.18,0)</f>
        <v>3.7052</v>
      </c>
      <c r="M9" s="16">
        <f t="shared" ref="M9:M50" si="3">K9*1.18</f>
        <v>177.84959999999998</v>
      </c>
      <c r="N9" t="s">
        <v>24</v>
      </c>
    </row>
    <row r="10" spans="1:14" x14ac:dyDescent="0.25">
      <c r="A10" s="17">
        <v>2</v>
      </c>
      <c r="B10" s="17">
        <v>864</v>
      </c>
      <c r="C10" s="17" t="s">
        <v>25</v>
      </c>
      <c r="D10" s="17" t="s">
        <v>26</v>
      </c>
      <c r="E10" s="18" t="s">
        <v>27</v>
      </c>
      <c r="F10" s="17">
        <v>12500</v>
      </c>
      <c r="G10" s="19" t="str">
        <f t="shared" si="0"/>
        <v>OK</v>
      </c>
      <c r="H10" s="20">
        <v>2.99</v>
      </c>
      <c r="I10" s="20">
        <v>29.44</v>
      </c>
      <c r="J10" s="20">
        <v>17.28</v>
      </c>
      <c r="K10" s="14">
        <f t="shared" si="1"/>
        <v>1507.8357245952</v>
      </c>
      <c r="L10" s="15">
        <f t="shared" si="2"/>
        <v>2.059312679424</v>
      </c>
      <c r="M10" s="21">
        <f t="shared" si="3"/>
        <v>1779.2461550223359</v>
      </c>
      <c r="N10" t="s">
        <v>24</v>
      </c>
    </row>
    <row r="11" spans="1:14" x14ac:dyDescent="0.25">
      <c r="A11" s="10">
        <v>3</v>
      </c>
      <c r="B11" s="10">
        <v>144</v>
      </c>
      <c r="C11" s="10" t="s">
        <v>25</v>
      </c>
      <c r="D11" s="10" t="s">
        <v>28</v>
      </c>
      <c r="E11" s="11" t="s">
        <v>29</v>
      </c>
      <c r="F11" s="10">
        <v>11546</v>
      </c>
      <c r="G11" s="12" t="str">
        <f t="shared" si="0"/>
        <v>OK</v>
      </c>
      <c r="H11" s="13">
        <v>9.2200000000000006</v>
      </c>
      <c r="I11" s="13">
        <v>29.44</v>
      </c>
      <c r="J11" s="13">
        <v>0</v>
      </c>
      <c r="K11" s="14">
        <f t="shared" si="1"/>
        <v>936.81100800000002</v>
      </c>
      <c r="L11" s="15">
        <f t="shared" si="2"/>
        <v>7.6766457599999995</v>
      </c>
      <c r="M11" s="16">
        <f t="shared" si="3"/>
        <v>1105.4369894399999</v>
      </c>
      <c r="N11" t="s">
        <v>24</v>
      </c>
    </row>
    <row r="12" spans="1:14" x14ac:dyDescent="0.25">
      <c r="A12" s="17">
        <v>4</v>
      </c>
      <c r="B12" s="17">
        <v>48</v>
      </c>
      <c r="C12" s="17" t="s">
        <v>21</v>
      </c>
      <c r="D12" s="17" t="s">
        <v>30</v>
      </c>
      <c r="E12" s="18" t="s">
        <v>31</v>
      </c>
      <c r="F12" s="17">
        <v>8066</v>
      </c>
      <c r="G12" s="19" t="str">
        <f t="shared" si="0"/>
        <v>OK</v>
      </c>
      <c r="H12" s="20">
        <v>20.8</v>
      </c>
      <c r="I12" s="20">
        <v>29.44</v>
      </c>
      <c r="J12" s="20">
        <v>38.4</v>
      </c>
      <c r="K12" s="14">
        <f t="shared" si="1"/>
        <v>433.95416064</v>
      </c>
      <c r="L12" s="15">
        <f t="shared" si="2"/>
        <v>10.668039782399999</v>
      </c>
      <c r="M12" s="21">
        <f t="shared" si="3"/>
        <v>512.06590955519994</v>
      </c>
      <c r="N12" t="s">
        <v>24</v>
      </c>
    </row>
    <row r="13" spans="1:14" x14ac:dyDescent="0.25">
      <c r="A13" s="10">
        <v>5</v>
      </c>
      <c r="B13" s="10">
        <v>12</v>
      </c>
      <c r="C13" s="10" t="s">
        <v>21</v>
      </c>
      <c r="D13" s="10" t="s">
        <v>32</v>
      </c>
      <c r="E13" s="11" t="s">
        <v>33</v>
      </c>
      <c r="F13" s="10">
        <v>11464</v>
      </c>
      <c r="G13" s="12" t="str">
        <f t="shared" si="0"/>
        <v>OK</v>
      </c>
      <c r="H13" s="13">
        <v>12.46</v>
      </c>
      <c r="I13" s="13">
        <v>0</v>
      </c>
      <c r="J13" s="13">
        <v>0</v>
      </c>
      <c r="K13" s="14">
        <f t="shared" si="1"/>
        <v>149.52000000000001</v>
      </c>
      <c r="L13" s="15">
        <f t="shared" si="2"/>
        <v>14.7028</v>
      </c>
      <c r="M13" s="16">
        <f t="shared" si="3"/>
        <v>176.43360000000001</v>
      </c>
      <c r="N13" t="s">
        <v>24</v>
      </c>
    </row>
    <row r="14" spans="1:14" x14ac:dyDescent="0.25">
      <c r="A14" s="17">
        <v>6</v>
      </c>
      <c r="B14" s="17">
        <v>12</v>
      </c>
      <c r="C14" s="17" t="s">
        <v>21</v>
      </c>
      <c r="D14" s="17" t="s">
        <v>34</v>
      </c>
      <c r="E14" s="18" t="s">
        <v>35</v>
      </c>
      <c r="F14" s="17">
        <v>5624</v>
      </c>
      <c r="G14" s="19" t="str">
        <f t="shared" si="0"/>
        <v>OK</v>
      </c>
      <c r="H14" s="20">
        <v>37.58</v>
      </c>
      <c r="I14" s="20">
        <v>29.44</v>
      </c>
      <c r="J14" s="20">
        <v>25</v>
      </c>
      <c r="K14" s="14">
        <f t="shared" si="1"/>
        <v>238.64803199999997</v>
      </c>
      <c r="L14" s="15">
        <f t="shared" si="2"/>
        <v>23.467056479999997</v>
      </c>
      <c r="M14" s="21">
        <f t="shared" si="3"/>
        <v>281.60467775999996</v>
      </c>
      <c r="N14" t="s">
        <v>24</v>
      </c>
    </row>
    <row r="15" spans="1:14" x14ac:dyDescent="0.25">
      <c r="A15" s="10">
        <v>7</v>
      </c>
      <c r="B15" s="10">
        <v>12</v>
      </c>
      <c r="C15" s="10" t="s">
        <v>21</v>
      </c>
      <c r="D15" s="10" t="s">
        <v>36</v>
      </c>
      <c r="E15" s="11" t="s">
        <v>37</v>
      </c>
      <c r="F15" s="10">
        <v>5011</v>
      </c>
      <c r="G15" s="12" t="str">
        <f t="shared" si="0"/>
        <v>OK</v>
      </c>
      <c r="H15" s="13">
        <v>37.58</v>
      </c>
      <c r="I15" s="13">
        <v>29.44</v>
      </c>
      <c r="J15" s="13">
        <v>25</v>
      </c>
      <c r="K15" s="14">
        <f t="shared" si="1"/>
        <v>238.64803199999997</v>
      </c>
      <c r="L15" s="15">
        <f t="shared" si="2"/>
        <v>23.467056479999997</v>
      </c>
      <c r="M15" s="16">
        <f t="shared" si="3"/>
        <v>281.60467775999996</v>
      </c>
      <c r="N15" t="s">
        <v>24</v>
      </c>
    </row>
    <row r="16" spans="1:14" x14ac:dyDescent="0.25">
      <c r="A16" s="17">
        <v>8</v>
      </c>
      <c r="B16" s="17">
        <v>24</v>
      </c>
      <c r="C16" s="17" t="s">
        <v>21</v>
      </c>
      <c r="D16" s="17" t="s">
        <v>38</v>
      </c>
      <c r="E16" s="18" t="s">
        <v>39</v>
      </c>
      <c r="F16" s="17">
        <v>2633</v>
      </c>
      <c r="G16" s="19" t="str">
        <f t="shared" si="0"/>
        <v>OK</v>
      </c>
      <c r="H16" s="20">
        <v>17.55</v>
      </c>
      <c r="I16" s="20">
        <v>29.44</v>
      </c>
      <c r="J16" s="20">
        <v>0</v>
      </c>
      <c r="K16" s="14">
        <f t="shared" si="1"/>
        <v>297.19872000000004</v>
      </c>
      <c r="L16" s="15">
        <f t="shared" si="2"/>
        <v>14.6122704</v>
      </c>
      <c r="M16" s="21">
        <f t="shared" si="3"/>
        <v>350.6944896</v>
      </c>
      <c r="N16" t="s">
        <v>24</v>
      </c>
    </row>
    <row r="17" spans="1:14" x14ac:dyDescent="0.25">
      <c r="A17" s="10">
        <v>9</v>
      </c>
      <c r="B17" s="10">
        <v>24</v>
      </c>
      <c r="C17" s="10" t="s">
        <v>21</v>
      </c>
      <c r="D17" s="10" t="s">
        <v>40</v>
      </c>
      <c r="E17" s="11" t="s">
        <v>41</v>
      </c>
      <c r="F17" s="10">
        <v>60</v>
      </c>
      <c r="G17" s="12" t="str">
        <f t="shared" si="0"/>
        <v>OK</v>
      </c>
      <c r="H17" s="13">
        <v>15.27</v>
      </c>
      <c r="I17" s="13">
        <v>29.44</v>
      </c>
      <c r="J17" s="13">
        <v>0</v>
      </c>
      <c r="K17" s="14">
        <f t="shared" si="1"/>
        <v>258.58828800000003</v>
      </c>
      <c r="L17" s="15">
        <f t="shared" si="2"/>
        <v>12.713924160000001</v>
      </c>
      <c r="M17" s="16">
        <f t="shared" si="3"/>
        <v>305.13417984</v>
      </c>
      <c r="N17" t="s">
        <v>24</v>
      </c>
    </row>
    <row r="18" spans="1:14" x14ac:dyDescent="0.25">
      <c r="A18" s="17">
        <v>10</v>
      </c>
      <c r="B18" s="17">
        <v>24</v>
      </c>
      <c r="C18" s="17" t="s">
        <v>21</v>
      </c>
      <c r="D18" s="17" t="s">
        <v>42</v>
      </c>
      <c r="E18" s="18" t="s">
        <v>43</v>
      </c>
      <c r="F18" s="17">
        <v>673</v>
      </c>
      <c r="G18" s="19" t="str">
        <f t="shared" si="0"/>
        <v>OK</v>
      </c>
      <c r="H18" s="20">
        <v>15.27</v>
      </c>
      <c r="I18" s="20">
        <v>29.44</v>
      </c>
      <c r="J18" s="20">
        <v>0</v>
      </c>
      <c r="K18" s="14">
        <f t="shared" si="1"/>
        <v>258.58828800000003</v>
      </c>
      <c r="L18" s="15">
        <f t="shared" si="2"/>
        <v>12.713924160000001</v>
      </c>
      <c r="M18" s="21">
        <f t="shared" si="3"/>
        <v>305.13417984</v>
      </c>
      <c r="N18" t="s">
        <v>24</v>
      </c>
    </row>
    <row r="19" spans="1:14" x14ac:dyDescent="0.25">
      <c r="A19" s="10">
        <v>11</v>
      </c>
      <c r="B19" s="10">
        <v>300</v>
      </c>
      <c r="C19" s="10" t="s">
        <v>21</v>
      </c>
      <c r="D19" s="10" t="s">
        <v>44</v>
      </c>
      <c r="E19" s="11" t="s">
        <v>45</v>
      </c>
      <c r="F19" s="10">
        <v>58879</v>
      </c>
      <c r="G19" s="12" t="str">
        <f t="shared" si="0"/>
        <v>OK</v>
      </c>
      <c r="H19" s="13">
        <v>12.34</v>
      </c>
      <c r="I19" s="13">
        <v>29.44</v>
      </c>
      <c r="J19" s="13">
        <v>17.07</v>
      </c>
      <c r="K19" s="14">
        <f t="shared" si="1"/>
        <v>2166.2404041599998</v>
      </c>
      <c r="L19" s="15">
        <f t="shared" si="2"/>
        <v>8.520545589695999</v>
      </c>
      <c r="M19" s="16">
        <f t="shared" si="3"/>
        <v>2556.1636769087995</v>
      </c>
      <c r="N19" t="s">
        <v>24</v>
      </c>
    </row>
    <row r="20" spans="1:14" x14ac:dyDescent="0.25">
      <c r="A20" s="17">
        <v>12</v>
      </c>
      <c r="B20" s="17">
        <v>12</v>
      </c>
      <c r="C20" s="17" t="s">
        <v>21</v>
      </c>
      <c r="D20" s="17" t="s">
        <v>46</v>
      </c>
      <c r="E20" s="18" t="s">
        <v>47</v>
      </c>
      <c r="F20" s="17">
        <v>4718</v>
      </c>
      <c r="G20" s="19" t="str">
        <f t="shared" si="0"/>
        <v>OK</v>
      </c>
      <c r="H20" s="20">
        <v>69</v>
      </c>
      <c r="I20" s="20">
        <v>29.44</v>
      </c>
      <c r="J20" s="20">
        <v>0</v>
      </c>
      <c r="K20" s="14">
        <f t="shared" si="1"/>
        <v>584.23680000000002</v>
      </c>
      <c r="L20" s="15">
        <f t="shared" si="2"/>
        <v>57.449951999999996</v>
      </c>
      <c r="M20" s="21">
        <f t="shared" si="3"/>
        <v>689.39942399999995</v>
      </c>
      <c r="N20" t="s">
        <v>24</v>
      </c>
    </row>
    <row r="21" spans="1:14" x14ac:dyDescent="0.25">
      <c r="A21" s="10">
        <v>13</v>
      </c>
      <c r="B21" s="10">
        <v>24</v>
      </c>
      <c r="C21" s="10" t="s">
        <v>25</v>
      </c>
      <c r="D21" s="10" t="s">
        <v>48</v>
      </c>
      <c r="E21" s="11" t="s">
        <v>49</v>
      </c>
      <c r="F21" s="10">
        <v>13341</v>
      </c>
      <c r="G21" s="12" t="str">
        <f t="shared" si="0"/>
        <v>OK</v>
      </c>
      <c r="H21" s="13">
        <v>5.3</v>
      </c>
      <c r="I21" s="13">
        <v>29.44</v>
      </c>
      <c r="J21" s="13">
        <v>0</v>
      </c>
      <c r="K21" s="14">
        <f t="shared" si="1"/>
        <v>89.752319999999997</v>
      </c>
      <c r="L21" s="15">
        <f t="shared" si="2"/>
        <v>4.4128223999999996</v>
      </c>
      <c r="M21" s="16">
        <f t="shared" si="3"/>
        <v>105.90773759999999</v>
      </c>
      <c r="N21" t="s">
        <v>24</v>
      </c>
    </row>
    <row r="22" spans="1:14" x14ac:dyDescent="0.25">
      <c r="A22" s="17">
        <v>14</v>
      </c>
      <c r="B22" s="17">
        <v>360</v>
      </c>
      <c r="C22" s="17" t="s">
        <v>50</v>
      </c>
      <c r="D22" s="17" t="s">
        <v>51</v>
      </c>
      <c r="E22" s="18" t="s">
        <v>52</v>
      </c>
      <c r="F22" s="17">
        <v>13656</v>
      </c>
      <c r="G22" s="19" t="str">
        <f t="shared" si="0"/>
        <v>OK</v>
      </c>
      <c r="H22" s="20">
        <v>1.43</v>
      </c>
      <c r="I22" s="20">
        <v>29.44</v>
      </c>
      <c r="J22" s="20">
        <v>13.52</v>
      </c>
      <c r="K22" s="14">
        <f t="shared" si="1"/>
        <v>314.13244262399996</v>
      </c>
      <c r="L22" s="15">
        <f t="shared" si="2"/>
        <v>1.0296563397119998</v>
      </c>
      <c r="M22" s="21">
        <f t="shared" si="3"/>
        <v>370.67628229631993</v>
      </c>
      <c r="N22" t="s">
        <v>24</v>
      </c>
    </row>
    <row r="23" spans="1:14" x14ac:dyDescent="0.25">
      <c r="A23" s="10">
        <v>15</v>
      </c>
      <c r="B23" s="10">
        <v>24</v>
      </c>
      <c r="C23" s="10" t="s">
        <v>50</v>
      </c>
      <c r="D23" s="10" t="s">
        <v>53</v>
      </c>
      <c r="E23" s="11" t="s">
        <v>54</v>
      </c>
      <c r="F23" s="10">
        <v>8036</v>
      </c>
      <c r="G23" s="12" t="str">
        <f t="shared" si="0"/>
        <v>OK</v>
      </c>
      <c r="H23" s="13">
        <v>4.57</v>
      </c>
      <c r="I23" s="13">
        <v>29.44</v>
      </c>
      <c r="J23" s="13">
        <v>0</v>
      </c>
      <c r="K23" s="14">
        <f t="shared" si="1"/>
        <v>77.390208000000001</v>
      </c>
      <c r="L23" s="15">
        <f t="shared" si="2"/>
        <v>3.8050185599999997</v>
      </c>
      <c r="M23" s="16">
        <f t="shared" si="3"/>
        <v>91.32044544</v>
      </c>
      <c r="N23" t="s">
        <v>24</v>
      </c>
    </row>
    <row r="24" spans="1:14" x14ac:dyDescent="0.25">
      <c r="A24" s="17">
        <v>16</v>
      </c>
      <c r="B24" s="17">
        <v>48</v>
      </c>
      <c r="C24" s="17" t="s">
        <v>50</v>
      </c>
      <c r="D24" s="17" t="s">
        <v>55</v>
      </c>
      <c r="E24" s="18" t="s">
        <v>56</v>
      </c>
      <c r="F24" s="17">
        <v>8792</v>
      </c>
      <c r="G24" s="19" t="str">
        <f t="shared" si="0"/>
        <v>OK</v>
      </c>
      <c r="H24" s="20">
        <v>4.57</v>
      </c>
      <c r="I24" s="20">
        <v>29.44</v>
      </c>
      <c r="J24" s="20">
        <v>0</v>
      </c>
      <c r="K24" s="14">
        <f t="shared" si="1"/>
        <v>154.780416</v>
      </c>
      <c r="L24" s="15">
        <f t="shared" si="2"/>
        <v>3.8050185599999997</v>
      </c>
      <c r="M24" s="21">
        <f t="shared" si="3"/>
        <v>182.64089088</v>
      </c>
      <c r="N24" t="s">
        <v>24</v>
      </c>
    </row>
    <row r="25" spans="1:14" x14ac:dyDescent="0.25">
      <c r="A25" s="10">
        <v>17</v>
      </c>
      <c r="B25" s="10">
        <v>60</v>
      </c>
      <c r="C25" s="10" t="s">
        <v>21</v>
      </c>
      <c r="D25" s="10" t="s">
        <v>57</v>
      </c>
      <c r="E25" s="11" t="s">
        <v>58</v>
      </c>
      <c r="F25" s="10">
        <v>1598</v>
      </c>
      <c r="G25" s="12" t="str">
        <f t="shared" si="0"/>
        <v>OK</v>
      </c>
      <c r="H25" s="13">
        <v>8.1999999999999993</v>
      </c>
      <c r="I25" s="13">
        <v>29.44</v>
      </c>
      <c r="J25" s="13">
        <v>0</v>
      </c>
      <c r="K25" s="14">
        <f t="shared" si="1"/>
        <v>347.15519999999998</v>
      </c>
      <c r="L25" s="15">
        <f t="shared" si="2"/>
        <v>6.8273855999999995</v>
      </c>
      <c r="M25" s="16">
        <f t="shared" si="3"/>
        <v>409.64313599999997</v>
      </c>
      <c r="N25" t="s">
        <v>24</v>
      </c>
    </row>
    <row r="26" spans="1:14" x14ac:dyDescent="0.25">
      <c r="A26" s="17">
        <v>18</v>
      </c>
      <c r="B26" s="17">
        <v>80</v>
      </c>
      <c r="C26" s="17" t="s">
        <v>21</v>
      </c>
      <c r="D26" s="17" t="s">
        <v>59</v>
      </c>
      <c r="E26" s="18" t="s">
        <v>60</v>
      </c>
      <c r="F26" s="17">
        <v>3088</v>
      </c>
      <c r="G26" s="19" t="str">
        <f t="shared" si="0"/>
        <v>OK</v>
      </c>
      <c r="H26" s="20">
        <v>17.010000000000002</v>
      </c>
      <c r="I26" s="20">
        <v>29.44</v>
      </c>
      <c r="J26" s="20">
        <v>0</v>
      </c>
      <c r="K26" s="14">
        <f t="shared" si="1"/>
        <v>960.1804800000001</v>
      </c>
      <c r="L26" s="15">
        <f t="shared" si="2"/>
        <v>14.16266208</v>
      </c>
      <c r="M26" s="21">
        <f t="shared" si="3"/>
        <v>1133.0129664000001</v>
      </c>
      <c r="N26" t="s">
        <v>24</v>
      </c>
    </row>
    <row r="27" spans="1:14" x14ac:dyDescent="0.25">
      <c r="A27" s="10">
        <v>19</v>
      </c>
      <c r="B27" s="10">
        <v>440</v>
      </c>
      <c r="C27" s="10" t="s">
        <v>25</v>
      </c>
      <c r="D27" s="10" t="s">
        <v>61</v>
      </c>
      <c r="E27" s="11" t="s">
        <v>62</v>
      </c>
      <c r="F27" s="10">
        <v>8237</v>
      </c>
      <c r="G27" s="12" t="str">
        <f t="shared" si="0"/>
        <v>OK</v>
      </c>
      <c r="H27" s="13">
        <v>97.74</v>
      </c>
      <c r="I27" s="13">
        <v>29.44</v>
      </c>
      <c r="J27" s="13">
        <v>39.15</v>
      </c>
      <c r="K27" s="14">
        <f t="shared" si="1"/>
        <v>18464.78120256</v>
      </c>
      <c r="L27" s="15">
        <f t="shared" si="2"/>
        <v>49.519185952320001</v>
      </c>
      <c r="M27" s="16">
        <f t="shared" si="3"/>
        <v>21788.441819020798</v>
      </c>
      <c r="N27" t="s">
        <v>24</v>
      </c>
    </row>
    <row r="28" spans="1:14" x14ac:dyDescent="0.25">
      <c r="A28" s="17">
        <v>20</v>
      </c>
      <c r="B28" s="17">
        <v>48</v>
      </c>
      <c r="C28" s="17" t="s">
        <v>21</v>
      </c>
      <c r="D28" s="17" t="s">
        <v>63</v>
      </c>
      <c r="E28" s="18" t="s">
        <v>64</v>
      </c>
      <c r="F28" s="17">
        <v>0</v>
      </c>
      <c r="G28" s="19" t="str">
        <f t="shared" si="0"/>
        <v>NO</v>
      </c>
      <c r="H28" s="20">
        <v>7.24</v>
      </c>
      <c r="I28" s="20">
        <v>29.44</v>
      </c>
      <c r="J28" s="20">
        <v>30</v>
      </c>
      <c r="K28" s="14">
        <f t="shared" si="1"/>
        <v>171.64707839999997</v>
      </c>
      <c r="L28" s="15">
        <f t="shared" si="2"/>
        <v>4.2196573439999989</v>
      </c>
      <c r="M28" s="21">
        <f t="shared" si="3"/>
        <v>202.54355251199996</v>
      </c>
      <c r="N28" t="s">
        <v>24</v>
      </c>
    </row>
    <row r="29" spans="1:14" x14ac:dyDescent="0.25">
      <c r="A29" s="10">
        <v>21</v>
      </c>
      <c r="B29" s="10">
        <v>48</v>
      </c>
      <c r="C29" s="10" t="s">
        <v>21</v>
      </c>
      <c r="D29" s="10" t="s">
        <v>65</v>
      </c>
      <c r="E29" s="11" t="s">
        <v>66</v>
      </c>
      <c r="F29" s="10">
        <v>0</v>
      </c>
      <c r="G29" s="12" t="str">
        <f t="shared" si="0"/>
        <v>NO</v>
      </c>
      <c r="H29" s="13">
        <v>6.36</v>
      </c>
      <c r="I29" s="13">
        <v>0</v>
      </c>
      <c r="J29" s="13">
        <v>0</v>
      </c>
      <c r="K29" s="14">
        <f t="shared" si="1"/>
        <v>305.28000000000003</v>
      </c>
      <c r="L29" s="15">
        <f t="shared" si="2"/>
        <v>7.5048000000000004</v>
      </c>
      <c r="M29" s="16">
        <f t="shared" si="3"/>
        <v>360.23040000000003</v>
      </c>
      <c r="N29" t="s">
        <v>24</v>
      </c>
    </row>
    <row r="30" spans="1:14" x14ac:dyDescent="0.25">
      <c r="A30" s="17">
        <v>22</v>
      </c>
      <c r="B30" s="17">
        <v>48</v>
      </c>
      <c r="C30" s="17" t="s">
        <v>21</v>
      </c>
      <c r="D30" s="17" t="s">
        <v>67</v>
      </c>
      <c r="E30" s="18" t="s">
        <v>68</v>
      </c>
      <c r="F30" s="17">
        <v>0</v>
      </c>
      <c r="G30" s="19" t="str">
        <f t="shared" si="0"/>
        <v>NO</v>
      </c>
      <c r="H30" s="20">
        <v>3.13</v>
      </c>
      <c r="I30" s="20">
        <v>0</v>
      </c>
      <c r="J30" s="20">
        <v>0</v>
      </c>
      <c r="K30" s="14">
        <f t="shared" si="1"/>
        <v>150.24</v>
      </c>
      <c r="L30" s="15">
        <f t="shared" si="2"/>
        <v>3.6934</v>
      </c>
      <c r="M30" s="21">
        <f t="shared" si="3"/>
        <v>177.28319999999999</v>
      </c>
      <c r="N30" t="s">
        <v>24</v>
      </c>
    </row>
    <row r="31" spans="1:14" x14ac:dyDescent="0.25">
      <c r="A31" s="10">
        <v>23</v>
      </c>
      <c r="B31" s="10">
        <v>24</v>
      </c>
      <c r="C31" s="10" t="s">
        <v>21</v>
      </c>
      <c r="D31" s="10" t="s">
        <v>69</v>
      </c>
      <c r="E31" s="11" t="s">
        <v>70</v>
      </c>
      <c r="F31" s="10">
        <v>0</v>
      </c>
      <c r="G31" s="12" t="str">
        <f t="shared" si="0"/>
        <v>NO</v>
      </c>
      <c r="H31" s="13">
        <v>29.9</v>
      </c>
      <c r="I31" s="13">
        <v>29.44</v>
      </c>
      <c r="J31" s="13">
        <v>0</v>
      </c>
      <c r="K31" s="14">
        <f t="shared" si="1"/>
        <v>506.33855999999992</v>
      </c>
      <c r="L31" s="15">
        <f t="shared" si="2"/>
        <v>24.894979199999995</v>
      </c>
      <c r="M31" s="16">
        <f t="shared" si="3"/>
        <v>597.47950079999987</v>
      </c>
      <c r="N31" t="s">
        <v>24</v>
      </c>
    </row>
    <row r="32" spans="1:14" x14ac:dyDescent="0.25">
      <c r="A32" s="17">
        <v>24</v>
      </c>
      <c r="B32" s="17">
        <v>24</v>
      </c>
      <c r="C32" s="17" t="s">
        <v>50</v>
      </c>
      <c r="D32" s="17" t="s">
        <v>71</v>
      </c>
      <c r="E32" s="18" t="s">
        <v>72</v>
      </c>
      <c r="F32" s="17">
        <v>18</v>
      </c>
      <c r="G32" s="19" t="str">
        <f t="shared" si="0"/>
        <v>NO</v>
      </c>
      <c r="H32" s="20">
        <v>3.43</v>
      </c>
      <c r="I32" s="20">
        <v>29.44</v>
      </c>
      <c r="J32" s="20">
        <v>0</v>
      </c>
      <c r="K32" s="14">
        <f t="shared" si="1"/>
        <v>58.084992000000007</v>
      </c>
      <c r="L32" s="15">
        <f t="shared" si="2"/>
        <v>2.85584544</v>
      </c>
      <c r="M32" s="21">
        <f t="shared" si="3"/>
        <v>68.540290560000003</v>
      </c>
      <c r="N32" t="s">
        <v>24</v>
      </c>
    </row>
    <row r="33" spans="1:14" x14ac:dyDescent="0.25">
      <c r="A33" s="10">
        <v>25</v>
      </c>
      <c r="B33" s="10">
        <v>72</v>
      </c>
      <c r="C33" s="10" t="s">
        <v>50</v>
      </c>
      <c r="D33" s="10" t="s">
        <v>73</v>
      </c>
      <c r="E33" s="11" t="s">
        <v>74</v>
      </c>
      <c r="F33" s="10">
        <v>48</v>
      </c>
      <c r="G33" s="12" t="str">
        <f t="shared" si="0"/>
        <v>NO</v>
      </c>
      <c r="H33" s="13">
        <v>3.43</v>
      </c>
      <c r="I33" s="13">
        <v>29.44</v>
      </c>
      <c r="J33" s="13">
        <v>0</v>
      </c>
      <c r="K33" s="14">
        <f t="shared" si="1"/>
        <v>174.254976</v>
      </c>
      <c r="L33" s="15">
        <f t="shared" si="2"/>
        <v>2.85584544</v>
      </c>
      <c r="M33" s="16">
        <f t="shared" si="3"/>
        <v>205.62087167999999</v>
      </c>
      <c r="N33" t="s">
        <v>24</v>
      </c>
    </row>
    <row r="34" spans="1:14" x14ac:dyDescent="0.25">
      <c r="A34" s="17">
        <v>26</v>
      </c>
      <c r="B34" s="17">
        <v>48</v>
      </c>
      <c r="C34" s="17" t="s">
        <v>50</v>
      </c>
      <c r="D34" s="17" t="s">
        <v>75</v>
      </c>
      <c r="E34" s="18" t="s">
        <v>76</v>
      </c>
      <c r="F34" s="17">
        <v>0</v>
      </c>
      <c r="G34" s="19" t="str">
        <f t="shared" si="0"/>
        <v>NO</v>
      </c>
      <c r="H34" s="20">
        <v>6.81</v>
      </c>
      <c r="I34" s="20">
        <v>29.44</v>
      </c>
      <c r="J34" s="20">
        <v>0</v>
      </c>
      <c r="K34" s="14">
        <f t="shared" si="1"/>
        <v>230.64652799999999</v>
      </c>
      <c r="L34" s="15">
        <f t="shared" si="2"/>
        <v>5.6700604800000001</v>
      </c>
      <c r="M34" s="21">
        <f t="shared" si="3"/>
        <v>272.16290303999995</v>
      </c>
      <c r="N34" t="s">
        <v>24</v>
      </c>
    </row>
    <row r="35" spans="1:14" x14ac:dyDescent="0.25">
      <c r="A35" s="10">
        <v>27</v>
      </c>
      <c r="B35" s="10">
        <v>120</v>
      </c>
      <c r="C35" s="10" t="s">
        <v>50</v>
      </c>
      <c r="D35" s="10" t="s">
        <v>77</v>
      </c>
      <c r="E35" s="11" t="s">
        <v>78</v>
      </c>
      <c r="F35" s="10">
        <v>0</v>
      </c>
      <c r="G35" s="12" t="str">
        <f t="shared" si="0"/>
        <v>NO</v>
      </c>
      <c r="H35" s="13">
        <v>1.43</v>
      </c>
      <c r="I35" s="13">
        <v>29.44</v>
      </c>
      <c r="J35" s="13">
        <v>13.52</v>
      </c>
      <c r="K35" s="14">
        <f t="shared" si="1"/>
        <v>104.71081420799999</v>
      </c>
      <c r="L35" s="15">
        <f t="shared" si="2"/>
        <v>1.0296563397119998</v>
      </c>
      <c r="M35" s="16">
        <f t="shared" si="3"/>
        <v>123.55876076543998</v>
      </c>
      <c r="N35" t="s">
        <v>24</v>
      </c>
    </row>
    <row r="36" spans="1:14" x14ac:dyDescent="0.25">
      <c r="A36" s="17">
        <v>28</v>
      </c>
      <c r="B36" s="17">
        <v>12</v>
      </c>
      <c r="C36" s="17" t="s">
        <v>79</v>
      </c>
      <c r="D36" s="17" t="s">
        <v>80</v>
      </c>
      <c r="E36" s="18" t="s">
        <v>81</v>
      </c>
      <c r="F36" s="17">
        <v>0</v>
      </c>
      <c r="G36" s="19" t="str">
        <f t="shared" si="0"/>
        <v>NO</v>
      </c>
      <c r="H36" s="20">
        <v>69</v>
      </c>
      <c r="I36" s="20">
        <v>29.44</v>
      </c>
      <c r="J36" s="20">
        <v>0</v>
      </c>
      <c r="K36" s="14">
        <f t="shared" si="1"/>
        <v>584.23680000000002</v>
      </c>
      <c r="L36" s="15">
        <f t="shared" si="2"/>
        <v>57.449951999999996</v>
      </c>
      <c r="M36" s="21">
        <f t="shared" si="3"/>
        <v>689.39942399999995</v>
      </c>
      <c r="N36" t="s">
        <v>24</v>
      </c>
    </row>
    <row r="37" spans="1:14" x14ac:dyDescent="0.25">
      <c r="A37" s="10">
        <v>29</v>
      </c>
      <c r="B37" s="10">
        <v>12</v>
      </c>
      <c r="C37" s="10" t="s">
        <v>79</v>
      </c>
      <c r="D37" s="10" t="s">
        <v>82</v>
      </c>
      <c r="E37" s="11" t="s">
        <v>83</v>
      </c>
      <c r="F37" s="10">
        <v>0</v>
      </c>
      <c r="G37" s="12" t="str">
        <f t="shared" si="0"/>
        <v>NO</v>
      </c>
      <c r="H37" s="13">
        <v>82.8</v>
      </c>
      <c r="I37" s="13">
        <v>29.44</v>
      </c>
      <c r="J37" s="13">
        <v>0</v>
      </c>
      <c r="K37" s="14">
        <f t="shared" si="1"/>
        <v>701.08416</v>
      </c>
      <c r="L37" s="15">
        <f t="shared" si="2"/>
        <v>68.939942399999993</v>
      </c>
      <c r="M37" s="16">
        <f t="shared" si="3"/>
        <v>827.27930879999997</v>
      </c>
      <c r="N37" t="s">
        <v>24</v>
      </c>
    </row>
    <row r="38" spans="1:14" x14ac:dyDescent="0.25">
      <c r="A38" s="17">
        <v>30</v>
      </c>
      <c r="B38" s="17">
        <v>12</v>
      </c>
      <c r="C38" s="17" t="s">
        <v>25</v>
      </c>
      <c r="D38" s="17" t="s">
        <v>84</v>
      </c>
      <c r="E38" s="18" t="s">
        <v>85</v>
      </c>
      <c r="F38" s="17">
        <v>0</v>
      </c>
      <c r="G38" s="19" t="str">
        <f t="shared" si="0"/>
        <v>NO</v>
      </c>
      <c r="H38" s="20">
        <v>163.63999999999999</v>
      </c>
      <c r="I38" s="20">
        <v>29.44</v>
      </c>
      <c r="J38" s="20">
        <v>0</v>
      </c>
      <c r="K38" s="14">
        <f t="shared" si="1"/>
        <v>1385.5726079999999</v>
      </c>
      <c r="L38" s="15">
        <f t="shared" si="2"/>
        <v>136.24797311999998</v>
      </c>
      <c r="M38" s="21">
        <f t="shared" si="3"/>
        <v>1634.9756774399998</v>
      </c>
      <c r="N38" t="s">
        <v>24</v>
      </c>
    </row>
    <row r="39" spans="1:14" x14ac:dyDescent="0.25">
      <c r="A39" s="10">
        <v>31</v>
      </c>
      <c r="B39" s="10">
        <v>40</v>
      </c>
      <c r="C39" s="10" t="s">
        <v>25</v>
      </c>
      <c r="D39" s="10" t="s">
        <v>86</v>
      </c>
      <c r="E39" s="11" t="s">
        <v>87</v>
      </c>
      <c r="F39" s="10">
        <v>0</v>
      </c>
      <c r="G39" s="12" t="str">
        <f t="shared" si="0"/>
        <v>NO</v>
      </c>
      <c r="H39" s="13">
        <v>97.74</v>
      </c>
      <c r="I39" s="13">
        <v>29.44</v>
      </c>
      <c r="J39" s="13">
        <v>39.15</v>
      </c>
      <c r="K39" s="14">
        <f t="shared" si="1"/>
        <v>1678.61647296</v>
      </c>
      <c r="L39" s="15">
        <f t="shared" si="2"/>
        <v>49.519185952320001</v>
      </c>
      <c r="M39" s="16">
        <f t="shared" si="3"/>
        <v>1980.7674380927999</v>
      </c>
      <c r="N39" t="s">
        <v>24</v>
      </c>
    </row>
    <row r="40" spans="1:14" x14ac:dyDescent="0.25">
      <c r="A40" s="17">
        <v>32</v>
      </c>
      <c r="B40" s="17">
        <v>80</v>
      </c>
      <c r="C40" s="17" t="s">
        <v>25</v>
      </c>
      <c r="D40" s="17" t="s">
        <v>88</v>
      </c>
      <c r="E40" s="18" t="s">
        <v>89</v>
      </c>
      <c r="F40" s="17">
        <v>0</v>
      </c>
      <c r="G40" s="19" t="str">
        <f t="shared" si="0"/>
        <v>NO</v>
      </c>
      <c r="H40" s="20">
        <v>97.74</v>
      </c>
      <c r="I40" s="20">
        <v>29.44</v>
      </c>
      <c r="J40" s="20">
        <v>39.15</v>
      </c>
      <c r="K40" s="14">
        <f t="shared" si="1"/>
        <v>3357.23294592</v>
      </c>
      <c r="L40" s="15">
        <f t="shared" si="2"/>
        <v>49.519185952320001</v>
      </c>
      <c r="M40" s="21">
        <f t="shared" si="3"/>
        <v>3961.5348761855998</v>
      </c>
      <c r="N40" t="s">
        <v>24</v>
      </c>
    </row>
    <row r="41" spans="1:14" x14ac:dyDescent="0.25">
      <c r="A41" s="10">
        <v>33</v>
      </c>
      <c r="B41" s="10">
        <v>80</v>
      </c>
      <c r="C41" s="10" t="s">
        <v>25</v>
      </c>
      <c r="D41" s="10" t="s">
        <v>90</v>
      </c>
      <c r="E41" s="11" t="s">
        <v>91</v>
      </c>
      <c r="F41" s="10">
        <v>0</v>
      </c>
      <c r="G41" s="12" t="str">
        <f t="shared" si="0"/>
        <v>NO</v>
      </c>
      <c r="H41" s="13">
        <v>97.74</v>
      </c>
      <c r="I41" s="13">
        <v>29.44</v>
      </c>
      <c r="J41" s="13">
        <v>39.15</v>
      </c>
      <c r="K41" s="14">
        <f t="shared" si="1"/>
        <v>3357.23294592</v>
      </c>
      <c r="L41" s="15">
        <f t="shared" si="2"/>
        <v>49.519185952320001</v>
      </c>
      <c r="M41" s="16">
        <f t="shared" si="3"/>
        <v>3961.5348761855998</v>
      </c>
      <c r="N41" t="s">
        <v>24</v>
      </c>
    </row>
    <row r="42" spans="1:14" x14ac:dyDescent="0.25">
      <c r="A42" s="17">
        <v>34</v>
      </c>
      <c r="B42" s="17">
        <v>72</v>
      </c>
      <c r="C42" s="17" t="s">
        <v>50</v>
      </c>
      <c r="D42" s="17" t="s">
        <v>92</v>
      </c>
      <c r="E42" s="18" t="s">
        <v>93</v>
      </c>
      <c r="F42" s="17">
        <v>1</v>
      </c>
      <c r="G42" s="19" t="str">
        <f t="shared" si="0"/>
        <v>NO</v>
      </c>
      <c r="H42" s="20">
        <v>4.51</v>
      </c>
      <c r="I42" s="20">
        <v>29.44</v>
      </c>
      <c r="J42" s="20">
        <v>8</v>
      </c>
      <c r="K42" s="14">
        <f t="shared" si="1"/>
        <v>210.79263743999999</v>
      </c>
      <c r="L42" s="15">
        <f t="shared" si="2"/>
        <v>3.4546571135999997</v>
      </c>
      <c r="M42" s="21">
        <f t="shared" si="3"/>
        <v>248.73531217919998</v>
      </c>
      <c r="N42" t="s">
        <v>24</v>
      </c>
    </row>
    <row r="43" spans="1:14" x14ac:dyDescent="0.25">
      <c r="A43" s="10">
        <v>35</v>
      </c>
      <c r="B43" s="10">
        <v>24</v>
      </c>
      <c r="C43" s="10" t="s">
        <v>21</v>
      </c>
      <c r="D43" s="10" t="s">
        <v>94</v>
      </c>
      <c r="E43" s="11" t="s">
        <v>95</v>
      </c>
      <c r="F43" s="10">
        <v>0</v>
      </c>
      <c r="G43" s="12" t="str">
        <f t="shared" si="0"/>
        <v>NO</v>
      </c>
      <c r="H43" s="13">
        <v>15.27</v>
      </c>
      <c r="I43" s="13">
        <v>29.44</v>
      </c>
      <c r="J43" s="13">
        <v>0</v>
      </c>
      <c r="K43" s="14">
        <f t="shared" si="1"/>
        <v>258.58828800000003</v>
      </c>
      <c r="L43" s="15">
        <f t="shared" si="2"/>
        <v>12.713924160000001</v>
      </c>
      <c r="M43" s="16">
        <f t="shared" si="3"/>
        <v>305.13417984</v>
      </c>
      <c r="N43" t="s">
        <v>24</v>
      </c>
    </row>
    <row r="44" spans="1:14" x14ac:dyDescent="0.25">
      <c r="A44" s="17">
        <v>36</v>
      </c>
      <c r="B44" s="17">
        <v>5000</v>
      </c>
      <c r="C44" s="17" t="s">
        <v>96</v>
      </c>
      <c r="D44" s="17" t="s">
        <v>97</v>
      </c>
      <c r="E44" s="18" t="s">
        <v>98</v>
      </c>
      <c r="F44" s="17">
        <v>29346</v>
      </c>
      <c r="G44" s="19" t="str">
        <f t="shared" si="0"/>
        <v>OK</v>
      </c>
      <c r="H44" s="20">
        <v>5.2</v>
      </c>
      <c r="I44" s="20">
        <v>29.44</v>
      </c>
      <c r="J44" s="20">
        <v>19.739999999999998</v>
      </c>
      <c r="K44" s="14">
        <f t="shared" si="1"/>
        <v>14724.178559999998</v>
      </c>
      <c r="L44" s="15">
        <f t="shared" si="2"/>
        <v>3.4749061401599994</v>
      </c>
      <c r="M44" s="21">
        <f t="shared" si="3"/>
        <v>17374.530700799998</v>
      </c>
      <c r="N44" t="s">
        <v>24</v>
      </c>
    </row>
    <row r="45" spans="1:14" x14ac:dyDescent="0.25">
      <c r="A45" s="10">
        <v>37</v>
      </c>
      <c r="B45" s="10">
        <v>48</v>
      </c>
      <c r="C45" s="10" t="s">
        <v>50</v>
      </c>
      <c r="D45" s="10" t="s">
        <v>99</v>
      </c>
      <c r="E45" s="11" t="s">
        <v>100</v>
      </c>
      <c r="F45" s="10">
        <v>43</v>
      </c>
      <c r="G45" s="12" t="str">
        <f t="shared" si="0"/>
        <v>NO</v>
      </c>
      <c r="H45" s="13">
        <v>3.43</v>
      </c>
      <c r="I45" s="13">
        <v>29.44</v>
      </c>
      <c r="J45" s="13">
        <v>0</v>
      </c>
      <c r="K45" s="14">
        <f t="shared" si="1"/>
        <v>116.16998400000001</v>
      </c>
      <c r="L45" s="15">
        <f t="shared" si="2"/>
        <v>2.85584544</v>
      </c>
      <c r="M45" s="16">
        <f t="shared" si="3"/>
        <v>137.08058112000001</v>
      </c>
      <c r="N45" t="s">
        <v>24</v>
      </c>
    </row>
    <row r="46" spans="1:14" x14ac:dyDescent="0.25">
      <c r="A46" s="17">
        <v>38</v>
      </c>
      <c r="B46" s="17">
        <v>80</v>
      </c>
      <c r="C46" s="17" t="s">
        <v>25</v>
      </c>
      <c r="D46" s="17" t="s">
        <v>101</v>
      </c>
      <c r="E46" s="18" t="s">
        <v>102</v>
      </c>
      <c r="F46" s="17">
        <v>4</v>
      </c>
      <c r="G46" s="19" t="str">
        <f t="shared" si="0"/>
        <v>NO</v>
      </c>
      <c r="H46" s="20">
        <v>97.74</v>
      </c>
      <c r="I46" s="20">
        <v>29.44</v>
      </c>
      <c r="J46" s="20">
        <v>39.15</v>
      </c>
      <c r="K46" s="14">
        <f t="shared" si="1"/>
        <v>3357.23294592</v>
      </c>
      <c r="L46" s="15">
        <f t="shared" si="2"/>
        <v>49.519185952320001</v>
      </c>
      <c r="M46" s="21">
        <f t="shared" si="3"/>
        <v>3961.5348761855998</v>
      </c>
      <c r="N46" t="s">
        <v>24</v>
      </c>
    </row>
    <row r="47" spans="1:14" x14ac:dyDescent="0.25">
      <c r="A47" s="10">
        <v>39</v>
      </c>
      <c r="B47" s="10">
        <v>2000</v>
      </c>
      <c r="C47" s="10" t="s">
        <v>96</v>
      </c>
      <c r="D47" s="10" t="s">
        <v>103</v>
      </c>
      <c r="E47" s="11" t="s">
        <v>104</v>
      </c>
      <c r="F47" s="10">
        <v>99686</v>
      </c>
      <c r="G47" s="12" t="str">
        <f t="shared" si="0"/>
        <v>OK</v>
      </c>
      <c r="H47" s="13">
        <v>4.07</v>
      </c>
      <c r="I47" s="13">
        <v>29.44</v>
      </c>
      <c r="J47" s="13">
        <v>15</v>
      </c>
      <c r="K47" s="14">
        <f t="shared" si="1"/>
        <v>4882.0464000000002</v>
      </c>
      <c r="L47" s="15">
        <f t="shared" si="2"/>
        <v>2.880407376</v>
      </c>
      <c r="M47" s="16">
        <f t="shared" si="3"/>
        <v>5760.8147520000002</v>
      </c>
      <c r="N47" t="s">
        <v>24</v>
      </c>
    </row>
    <row r="48" spans="1:14" x14ac:dyDescent="0.25">
      <c r="A48" s="17">
        <v>40</v>
      </c>
      <c r="B48" s="17">
        <v>864</v>
      </c>
      <c r="C48" s="17" t="s">
        <v>25</v>
      </c>
      <c r="D48" s="17" t="s">
        <v>105</v>
      </c>
      <c r="E48" s="18" t="s">
        <v>106</v>
      </c>
      <c r="F48" s="17">
        <v>0</v>
      </c>
      <c r="G48" s="19" t="str">
        <f t="shared" si="0"/>
        <v>NO</v>
      </c>
      <c r="H48" s="20">
        <v>4</v>
      </c>
      <c r="I48" s="20">
        <v>29.44</v>
      </c>
      <c r="J48" s="20">
        <v>4</v>
      </c>
      <c r="K48" s="14">
        <f t="shared" si="1"/>
        <v>2341.0114560000002</v>
      </c>
      <c r="L48" s="15">
        <f t="shared" si="2"/>
        <v>3.1972147200000003</v>
      </c>
      <c r="M48" s="21">
        <f t="shared" si="3"/>
        <v>2762.3935180799999</v>
      </c>
      <c r="N48" t="s">
        <v>24</v>
      </c>
    </row>
    <row r="49" spans="1:14" x14ac:dyDescent="0.25">
      <c r="A49" s="10">
        <v>41</v>
      </c>
      <c r="B49" s="10">
        <v>12</v>
      </c>
      <c r="C49" s="10" t="s">
        <v>79</v>
      </c>
      <c r="D49" s="10" t="s">
        <v>107</v>
      </c>
      <c r="E49" s="11" t="s">
        <v>108</v>
      </c>
      <c r="F49" s="10">
        <v>0</v>
      </c>
      <c r="G49" s="12" t="str">
        <f t="shared" si="0"/>
        <v>NO</v>
      </c>
      <c r="H49" s="13">
        <v>62</v>
      </c>
      <c r="I49" s="13">
        <v>29.44</v>
      </c>
      <c r="J49" s="13">
        <v>0</v>
      </c>
      <c r="K49" s="14">
        <f t="shared" si="1"/>
        <v>524.96640000000002</v>
      </c>
      <c r="L49" s="15">
        <f t="shared" si="2"/>
        <v>51.621696</v>
      </c>
      <c r="M49" s="16">
        <f t="shared" si="3"/>
        <v>619.46035199999994</v>
      </c>
      <c r="N49" t="s">
        <v>24</v>
      </c>
    </row>
    <row r="50" spans="1:14" x14ac:dyDescent="0.25">
      <c r="A50" s="17">
        <v>42</v>
      </c>
      <c r="B50" s="17">
        <v>20</v>
      </c>
      <c r="C50" s="17" t="s">
        <v>79</v>
      </c>
      <c r="D50" s="17" t="s">
        <v>109</v>
      </c>
      <c r="E50" s="18" t="s">
        <v>110</v>
      </c>
      <c r="F50" s="17">
        <v>10149</v>
      </c>
      <c r="G50" s="19" t="str">
        <f t="shared" si="0"/>
        <v>OK</v>
      </c>
      <c r="H50" s="20">
        <v>9.6999999999999993</v>
      </c>
      <c r="I50" s="20">
        <v>29.44</v>
      </c>
      <c r="J50" s="20">
        <v>7.85</v>
      </c>
      <c r="K50" s="14">
        <f t="shared" si="1"/>
        <v>126.14081760000001</v>
      </c>
      <c r="L50" s="15">
        <f t="shared" si="2"/>
        <v>7.4423082384000008</v>
      </c>
      <c r="M50" s="21">
        <f t="shared" si="3"/>
        <v>148.84616476799999</v>
      </c>
      <c r="N50" t="s">
        <v>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2026-04-10T02:18:35Z</dcterms:created>
  <dcterms:modified xsi:type="dcterms:W3CDTF">2026-04-11T20:33:35Z</dcterms:modified>
  <cp:category/>
</cp:coreProperties>
</file>